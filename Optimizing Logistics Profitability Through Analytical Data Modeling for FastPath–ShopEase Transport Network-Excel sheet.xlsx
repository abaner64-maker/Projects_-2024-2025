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48782AC0-2A09-4E65-8C0C-61996639E05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nswer Report 1" sheetId="2" r:id="rId1"/>
    <sheet name="Sheet1" sheetId="1" r:id="rId2"/>
  </sheets>
  <definedNames>
    <definedName name="solver_adj" localSheetId="1" hidden="1">Sheet1!$C$31:$G$32,Sheet1!$C$27:$G$28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Sheet1!$C$27:$G$28</definedName>
    <definedName name="solver_lhs2" localSheetId="1" hidden="1">Sheet1!$C$31:$G$32</definedName>
    <definedName name="solver_lhs3" localSheetId="1" hidden="1">Sheet1!$E$35:$E$36</definedName>
    <definedName name="solver_lhs4" localSheetId="1" hidden="1">Sheet1!$E$40:$I$40</definedName>
    <definedName name="solver_lhs5" localSheetId="1" hidden="1">Sheet1!$E$42</definedName>
    <definedName name="solver_lhs6" localSheetId="1" hidden="1">Sheet1!$H$35:$H$36</definedName>
    <definedName name="solver_lhs7" localSheetId="1" hidden="1">Sheet1!$H$42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7</definedName>
    <definedName name="solver_nwt" localSheetId="1" hidden="1">1</definedName>
    <definedName name="solver_opt" localSheetId="1" hidden="1">Sheet1!$B$41</definedName>
    <definedName name="solver_pre" localSheetId="1" hidden="1">0.000001</definedName>
    <definedName name="solver_rbv" localSheetId="1" hidden="1">1</definedName>
    <definedName name="solver_rel1" localSheetId="1" hidden="1">4</definedName>
    <definedName name="solver_rel2" localSheetId="1" hidden="1">4</definedName>
    <definedName name="solver_rel3" localSheetId="1" hidden="1">1</definedName>
    <definedName name="solver_rel4" localSheetId="1" hidden="1">3</definedName>
    <definedName name="solver_rel5" localSheetId="1" hidden="1">1</definedName>
    <definedName name="solver_rel6" localSheetId="1" hidden="1">1</definedName>
    <definedName name="solver_rel7" localSheetId="1" hidden="1">1</definedName>
    <definedName name="solver_rhs1" localSheetId="1" hidden="1">"integer"</definedName>
    <definedName name="solver_rhs2" localSheetId="1" hidden="1">"integer"</definedName>
    <definedName name="solver_rhs3" localSheetId="1" hidden="1">Sheet1!$G$35:$G$36</definedName>
    <definedName name="solver_rhs4" localSheetId="1" hidden="1">0</definedName>
    <definedName name="solver_rhs5" localSheetId="1" hidden="1">Sheet1!$G$42</definedName>
    <definedName name="solver_rhs6" localSheetId="1" hidden="1">Sheet1!$J$35:$J$36</definedName>
    <definedName name="solver_rhs7" localSheetId="1" hidden="1">Sheet1!$J$42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1" l="1"/>
  <c r="H42" i="1"/>
  <c r="E42" i="1"/>
  <c r="J42" i="1"/>
  <c r="G42" i="1"/>
  <c r="E36" i="1"/>
  <c r="E35" i="1"/>
  <c r="J36" i="1"/>
  <c r="J35" i="1"/>
  <c r="G36" i="1"/>
  <c r="G35" i="1"/>
  <c r="E7" i="1"/>
  <c r="E6" i="1"/>
  <c r="B38" i="1"/>
  <c r="B37" i="1"/>
  <c r="B36" i="1"/>
  <c r="E40" i="1"/>
  <c r="I40" i="1"/>
  <c r="H40" i="1"/>
  <c r="F40" i="1"/>
  <c r="G40" i="1"/>
  <c r="H36" i="1"/>
  <c r="H35" i="1"/>
  <c r="E44" i="1" l="1"/>
  <c r="B39" i="1" s="1"/>
  <c r="B40" i="1"/>
  <c r="B41" i="1" l="1"/>
  <c r="D105" i="1" s="1"/>
  <c r="D92" i="1" l="1"/>
  <c r="D99" i="1"/>
  <c r="D79" i="1"/>
  <c r="D86" i="1"/>
  <c r="D67" i="1"/>
  <c r="D73" i="1"/>
  <c r="D49" i="1"/>
  <c r="D61" i="1"/>
  <c r="D55" i="1"/>
</calcChain>
</file>

<file path=xl/sharedStrings.xml><?xml version="1.0" encoding="utf-8"?>
<sst xmlns="http://schemas.openxmlformats.org/spreadsheetml/2006/main" count="239" uniqueCount="153">
  <si>
    <t>Origin</t>
  </si>
  <si>
    <t>Destination</t>
  </si>
  <si>
    <t>Agra</t>
  </si>
  <si>
    <t>Ahmedabad</t>
  </si>
  <si>
    <t>Delhi</t>
  </si>
  <si>
    <t>Lucknow</t>
  </si>
  <si>
    <t>Kanpur</t>
  </si>
  <si>
    <t>Mumbai</t>
  </si>
  <si>
    <t>Pune</t>
  </si>
  <si>
    <t>Distance</t>
  </si>
  <si>
    <t>Truck</t>
  </si>
  <si>
    <t>Small</t>
  </si>
  <si>
    <t>Large</t>
  </si>
  <si>
    <t>Operating Cost($/miles)</t>
  </si>
  <si>
    <t>Revenue($/ton/miles)</t>
  </si>
  <si>
    <t>Return Revenue($/ton/miles)</t>
  </si>
  <si>
    <t>Capacity</t>
  </si>
  <si>
    <t>Return Revenue casing</t>
  </si>
  <si>
    <t>Available Trucks in Agra</t>
  </si>
  <si>
    <t>Available Trucks in Ahmedabad</t>
  </si>
  <si>
    <t>Penalty ($/ton unmet)</t>
  </si>
  <si>
    <t>Demand in tonnes</t>
  </si>
  <si>
    <t>Warehouse capacity agra</t>
  </si>
  <si>
    <t>Warehouse capacity Ahmedabad</t>
  </si>
  <si>
    <t>Small Trucks</t>
  </si>
  <si>
    <t>Large Trucks</t>
  </si>
  <si>
    <t>Cost operating Small Trucks</t>
  </si>
  <si>
    <t>Cost operating Large Trucks</t>
  </si>
  <si>
    <t>Outbound Revenue Small Trucks</t>
  </si>
  <si>
    <t>Number of small trucks</t>
    <phoneticPr fontId="2" type="noConversion"/>
  </si>
  <si>
    <t>Number of large trucks</t>
    <phoneticPr fontId="2" type="noConversion"/>
  </si>
  <si>
    <t>Unmet demand</t>
    <phoneticPr fontId="2" type="noConversion"/>
  </si>
  <si>
    <t>Total profit</t>
    <phoneticPr fontId="2" type="noConversion"/>
  </si>
  <si>
    <t>&lt;=</t>
    <phoneticPr fontId="2" type="noConversion"/>
  </si>
  <si>
    <t>Agra</t>
    <phoneticPr fontId="2" type="noConversion"/>
  </si>
  <si>
    <t>Ahmedabad</t>
    <phoneticPr fontId="2" type="noConversion"/>
  </si>
  <si>
    <t>Delhi</t>
    <phoneticPr fontId="2" type="noConversion"/>
  </si>
  <si>
    <t>Total unmet demand</t>
    <phoneticPr fontId="2" type="noConversion"/>
  </si>
  <si>
    <t>Penalty</t>
    <phoneticPr fontId="2" type="noConversion"/>
  </si>
  <si>
    <t>Outbound Revenue Large Trucks</t>
    <phoneticPr fontId="2" type="noConversion"/>
  </si>
  <si>
    <t>Return Revenue</t>
    <phoneticPr fontId="2" type="noConversion"/>
  </si>
  <si>
    <t>Available demand</t>
    <phoneticPr fontId="2" type="noConversion"/>
  </si>
  <si>
    <t>Microsoft Excel 16.0 Answer Report</t>
  </si>
  <si>
    <t>Worksheet: [Team Final Project.xlsx]Sheet1</t>
  </si>
  <si>
    <t>Report Created: 12/13/2024 8:23:41 AM</t>
  </si>
  <si>
    <t>Result: Solver found a solution.  All Constraints and optimality conditions are satisfied.</t>
  </si>
  <si>
    <t>Solver Engine</t>
  </si>
  <si>
    <t>Engine: Simplex LP</t>
  </si>
  <si>
    <t>Solution Time: 0.187 Seconds.</t>
  </si>
  <si>
    <t>Iterations: 6 Subproblems: 0</t>
  </si>
  <si>
    <t>Solver Options</t>
  </si>
  <si>
    <t>Max Time Unlimited,  Iterations Unlimited, Precision 0.000001, Use Automatic Scaling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</si>
  <si>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</si>
  <si>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</si>
  <si>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</si>
  <si>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</si>
  <si>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</si>
  <si>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</si>
  <si>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</si>
  <si>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</si>
  <si>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</si>
  <si>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</si>
  <si>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</si>
  <si>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</si>
  <si>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</si>
  <si>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$B$41</t>
  </si>
  <si>
    <t>Total profit Ahmedabad</t>
  </si>
  <si>
    <t>$C$31</t>
  </si>
  <si>
    <t>Agra Delhi</t>
  </si>
  <si>
    <t>$D$31</t>
  </si>
  <si>
    <t>Agra Lucknow</t>
  </si>
  <si>
    <t>$E$31</t>
  </si>
  <si>
    <t>Agra Kanpur</t>
  </si>
  <si>
    <t>$F$31</t>
  </si>
  <si>
    <t>Agra Mumbai</t>
  </si>
  <si>
    <t>$G$31</t>
  </si>
  <si>
    <t>Agra Pune</t>
  </si>
  <si>
    <t>$C$32</t>
  </si>
  <si>
    <t>Ahmedabad Delhi</t>
  </si>
  <si>
    <t>$D$32</t>
  </si>
  <si>
    <t>Ahmedabad Lucknow</t>
  </si>
  <si>
    <t>$E$32</t>
  </si>
  <si>
    <t>Ahmedabad Kanpur</t>
  </si>
  <si>
    <t>$F$32</t>
  </si>
  <si>
    <t>Ahmedabad Mumbai</t>
  </si>
  <si>
    <t>$G$32</t>
  </si>
  <si>
    <t>Ahmedabad Pune</t>
  </si>
  <si>
    <t>$C$27</t>
  </si>
  <si>
    <t>$D$27</t>
  </si>
  <si>
    <t>$E$27</t>
  </si>
  <si>
    <t>$F$27</t>
  </si>
  <si>
    <t>$G$27</t>
  </si>
  <si>
    <t>$C$28</t>
  </si>
  <si>
    <t>$D$28</t>
  </si>
  <si>
    <t>$E$28</t>
  </si>
  <si>
    <t>$F$28</t>
  </si>
  <si>
    <t>$G$28</t>
  </si>
  <si>
    <t>$E$35</t>
  </si>
  <si>
    <t>Number of small trucks Agra</t>
  </si>
  <si>
    <t>$E$35&lt;=$G$35</t>
  </si>
  <si>
    <t>Binding</t>
  </si>
  <si>
    <t>$E$36</t>
  </si>
  <si>
    <t>Number of large trucks Agra</t>
  </si>
  <si>
    <t>$E$36&lt;=$G$36</t>
  </si>
  <si>
    <t>$E$40</t>
  </si>
  <si>
    <t>Unmet demand Delhi</t>
  </si>
  <si>
    <t>$E$40&gt;=0</t>
  </si>
  <si>
    <t>Not Binding</t>
  </si>
  <si>
    <t>$F$40</t>
  </si>
  <si>
    <t>Unmet demand Lucknow</t>
  </si>
  <si>
    <t>$F$40&gt;=0</t>
  </si>
  <si>
    <t>$G$40</t>
  </si>
  <si>
    <t>Unmet demand Kanpur</t>
  </si>
  <si>
    <t>$G$40&gt;=0</t>
  </si>
  <si>
    <t>$H$40</t>
  </si>
  <si>
    <t>Unmet demand Mumbai</t>
  </si>
  <si>
    <t>$H$40&gt;=0</t>
  </si>
  <si>
    <t>$I$40</t>
  </si>
  <si>
    <t>Unmet demand Pune</t>
  </si>
  <si>
    <t>$I$40&gt;=0</t>
  </si>
  <si>
    <t>$E$42</t>
  </si>
  <si>
    <t>Available demand Agra</t>
  </si>
  <si>
    <t>$E$42&lt;=$G$42</t>
  </si>
  <si>
    <t>$H$35</t>
  </si>
  <si>
    <t>&lt;= Ahmedabad</t>
  </si>
  <si>
    <t>$H$35&lt;=$J$35</t>
  </si>
  <si>
    <t>$H$36</t>
  </si>
  <si>
    <t>$H$36&lt;=$J$36</t>
  </si>
  <si>
    <t>$H$42</t>
  </si>
  <si>
    <t>$H$42&lt;=$J$42</t>
  </si>
  <si>
    <t>$C$27:$G$28=Integer</t>
  </si>
  <si>
    <t>Integer</t>
    <phoneticPr fontId="2" type="noConversion"/>
  </si>
  <si>
    <t>$C$31:$G$32=Integer</t>
  </si>
  <si>
    <t>Demand_Ag_De</t>
    <phoneticPr fontId="2" type="noConversion"/>
  </si>
  <si>
    <t>Distance_Ag_De</t>
    <phoneticPr fontId="2" type="noConversion"/>
  </si>
  <si>
    <t>Small Trucks_Ag_De</t>
    <phoneticPr fontId="2" type="noConversion"/>
  </si>
  <si>
    <t>Large Trucks_Ag_De</t>
    <phoneticPr fontId="2" type="noConversion"/>
  </si>
  <si>
    <t>Cost_Small_Trucks</t>
    <phoneticPr fontId="2" type="noConversion"/>
  </si>
  <si>
    <t>Cost_Large_Trucks</t>
    <phoneticPr fontId="2" type="noConversion"/>
  </si>
  <si>
    <t>Penalty</t>
    <phoneticPr fontId="2" type="noConversion"/>
  </si>
  <si>
    <t>Small_Trucks_Ag_De</t>
    <phoneticPr fontId="2" type="noConversion"/>
  </si>
  <si>
    <t>Large_Trucks_Ag_Lu</t>
    <phoneticPr fontId="2" type="noConversion"/>
  </si>
  <si>
    <t>Small_Trucks_Ag_Ka</t>
    <phoneticPr fontId="2" type="noConversion"/>
  </si>
  <si>
    <t>Small_Trucks_Ah_De</t>
    <phoneticPr fontId="2" type="noConversion"/>
  </si>
  <si>
    <t>Small_Trucks_Ah_Pu</t>
    <phoneticPr fontId="2" type="noConversion"/>
  </si>
  <si>
    <t>Large_Trucks_Ag_De</t>
    <phoneticPr fontId="2" type="noConversion"/>
  </si>
  <si>
    <t>Large_Trucks_Ah_De</t>
    <phoneticPr fontId="2" type="noConversion"/>
  </si>
  <si>
    <t>Large_Trucks_Ah_Pu</t>
    <phoneticPr fontId="2" type="noConversion"/>
  </si>
  <si>
    <t>Sensitivity for small trucks of Agra</t>
    <phoneticPr fontId="2" type="noConversion"/>
  </si>
  <si>
    <t>Ahmedabad</t>
    <phoneticPr fontId="2" type="noConversion"/>
  </si>
  <si>
    <t xml:space="preserve">Sensitivity for small trucks of Ahmedabad </t>
    <phoneticPr fontId="2" type="noConversion"/>
  </si>
  <si>
    <t>Sensitivity for large trucks of Agra</t>
    <phoneticPr fontId="2" type="noConversion"/>
  </si>
  <si>
    <t>Sensitivity for large trucks of Ahmedabad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</si>
</sst>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scheme val="minor"/>
    </font>
    <font>
      <b/>
      <sz val="11"/>
      <color indexed="18"/>
      <name val="宋体"/>
      <family val="2"/>
      <scheme val="minor"/>
    </font>
    <font>
      <b/>
      <sz val="11"/>
      <color theme="1" tint="4.9989318521683403E-2"/>
      <name val="宋体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9FF66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right" vertical="top"/>
    </xf>
    <xf numFmtId="9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4" fillId="0" borderId="0" xfId="0" applyFont="1"/>
    <xf numFmtId="0" fontId="0" fillId="0" borderId="2" xfId="0" applyFill="1" applyBorder="1" applyAlignment="1"/>
    <xf numFmtId="0" fontId="5" fillId="0" borderId="1" xfId="0" applyFont="1" applyFill="1" applyBorder="1" applyAlignment="1">
      <alignment horizontal="center"/>
    </xf>
    <xf numFmtId="0" fontId="0" fillId="0" borderId="3" xfId="0" applyFill="1" applyBorder="1" applyAlignment="1"/>
    <xf numFmtId="0" fontId="0" fillId="0" borderId="2" xfId="0" applyNumberFormat="1" applyFill="1" applyBorder="1" applyAlignment="1"/>
    <xf numFmtId="0" fontId="0" fillId="0" borderId="3" xfId="0" applyNumberFormat="1" applyFill="1" applyBorder="1" applyAlignment="1"/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3" borderId="4" xfId="0" applyFill="1" applyBorder="1"/>
    <xf numFmtId="0" fontId="0" fillId="4" borderId="4" xfId="0" applyFill="1" applyBorder="1"/>
    <xf numFmtId="0" fontId="0" fillId="5" borderId="4" xfId="0" applyFill="1" applyBorder="1"/>
    <xf numFmtId="0" fontId="4" fillId="3" borderId="4" xfId="0" applyFont="1" applyFill="1" applyBorder="1"/>
    <xf numFmtId="0" fontId="6" fillId="3" borderId="4" xfId="0" applyFont="1" applyFill="1" applyBorder="1"/>
    <xf numFmtId="0" fontId="0" fillId="0" borderId="10" xfId="0" applyBorder="1"/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left"/>
    </xf>
    <xf numFmtId="0" fontId="4" fillId="0" borderId="4" xfId="0" applyFont="1" applyBorder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4C34A-C596-4B39-99B3-5E7A61FC58C7}">
  <dimension ref="A1:G57"/>
  <sheetViews>
    <sheetView showGridLines="0" topLeftCell="A33" zoomScale="89" zoomScaleNormal="89" workbookViewId="0">
      <selection activeCell="U1" sqref="U1"/>
    </sheetView>
  </sheetViews>
  <sheetFormatPr defaultRowHeight="14.4"/>
  <cols>
    <col min="1" max="1" width="2.33203125" customWidth="1"/>
    <col min="2" max="2" width="21.5546875" bestFit="1" customWidth="1"/>
    <col min="3" max="3" width="30.33203125" bestFit="1" customWidth="1"/>
    <col min="4" max="4" width="17.77734375" bestFit="1" customWidth="1"/>
    <col min="5" max="5" width="14.109375" bestFit="1" customWidth="1"/>
    <col min="6" max="6" width="12.77734375" bestFit="1" customWidth="1"/>
    <col min="7" max="7" width="7.109375" bestFit="1" customWidth="1"/>
  </cols>
  <sheetData>
    <row r="1" spans="1:5">
      <c r="A1" s="7" t="s">
        <v>42</v>
      </c>
    </row>
    <row r="2" spans="1:5">
      <c r="A2" s="7" t="s">
        <v>43</v>
      </c>
    </row>
    <row r="3" spans="1:5">
      <c r="A3" s="7" t="s">
        <v>44</v>
      </c>
    </row>
    <row r="4" spans="1:5">
      <c r="A4" s="7" t="s">
        <v>45</v>
      </c>
    </row>
    <row r="5" spans="1:5">
      <c r="A5" s="7" t="s">
        <v>46</v>
      </c>
    </row>
    <row r="6" spans="1:5">
      <c r="A6" s="7"/>
      <c r="B6" t="s">
        <v>47</v>
      </c>
    </row>
    <row r="7" spans="1:5">
      <c r="A7" s="7"/>
      <c r="B7" t="s">
        <v>48</v>
      </c>
    </row>
    <row r="8" spans="1:5">
      <c r="A8" s="7"/>
      <c r="B8" t="s">
        <v>49</v>
      </c>
    </row>
    <row r="9" spans="1:5">
      <c r="A9" s="7" t="s">
        <v>50</v>
      </c>
    </row>
    <row r="10" spans="1:5">
      <c r="B10" t="s">
        <v>51</v>
      </c>
    </row>
    <row r="11" spans="1:5">
      <c r="B11" t="s">
        <v>52</v>
      </c>
    </row>
    <row r="14" spans="1:5" ht="15" thickBot="1">
      <c r="A14" t="s">
        <v>53</v>
      </c>
    </row>
    <row r="15" spans="1:5" ht="15" thickBot="1">
      <c r="B15" s="9" t="s">
        <v>54</v>
      </c>
      <c r="C15" s="9" t="s">
        <v>55</v>
      </c>
      <c r="D15" s="9" t="s">
        <v>56</v>
      </c>
      <c r="E15" s="9" t="s">
        <v>57</v>
      </c>
    </row>
    <row r="16" spans="1:5" ht="15" thickBot="1">
      <c r="B16" s="8" t="s">
        <v>65</v>
      </c>
      <c r="C16" s="8" t="s">
        <v>66</v>
      </c>
      <c r="D16" s="11">
        <v>83976</v>
      </c>
      <c r="E16" s="11">
        <v>83976</v>
      </c>
    </row>
    <row r="19" spans="1:6" ht="15" thickBot="1">
      <c r="A19" t="s">
        <v>58</v>
      </c>
    </row>
    <row r="20" spans="1:6" ht="15" thickBot="1">
      <c r="B20" s="9" t="s">
        <v>54</v>
      </c>
      <c r="C20" s="9" t="s">
        <v>55</v>
      </c>
      <c r="D20" s="9" t="s">
        <v>56</v>
      </c>
      <c r="E20" s="9" t="s">
        <v>57</v>
      </c>
      <c r="F20" s="9" t="s">
        <v>59</v>
      </c>
    </row>
    <row r="21" spans="1:6">
      <c r="B21" s="10" t="s">
        <v>67</v>
      </c>
      <c r="C21" s="10" t="s">
        <v>68</v>
      </c>
      <c r="D21" s="12">
        <v>0</v>
      </c>
      <c r="E21" s="12">
        <v>0</v>
      </c>
      <c r="F21" s="10" t="s">
        <v>131</v>
      </c>
    </row>
    <row r="22" spans="1:6">
      <c r="B22" s="10" t="s">
        <v>69</v>
      </c>
      <c r="C22" s="10" t="s">
        <v>70</v>
      </c>
      <c r="D22" s="12">
        <v>2</v>
      </c>
      <c r="E22" s="12">
        <v>2</v>
      </c>
      <c r="F22" s="10" t="s">
        <v>131</v>
      </c>
    </row>
    <row r="23" spans="1:6">
      <c r="B23" s="10" t="s">
        <v>71</v>
      </c>
      <c r="C23" s="10" t="s">
        <v>72</v>
      </c>
      <c r="D23" s="12">
        <v>0</v>
      </c>
      <c r="E23" s="12">
        <v>0</v>
      </c>
      <c r="F23" s="10" t="s">
        <v>131</v>
      </c>
    </row>
    <row r="24" spans="1:6">
      <c r="B24" s="10" t="s">
        <v>73</v>
      </c>
      <c r="C24" s="10" t="s">
        <v>74</v>
      </c>
      <c r="D24" s="12">
        <v>0</v>
      </c>
      <c r="E24" s="12">
        <v>0</v>
      </c>
      <c r="F24" s="10" t="s">
        <v>131</v>
      </c>
    </row>
    <row r="25" spans="1:6">
      <c r="B25" s="10" t="s">
        <v>75</v>
      </c>
      <c r="C25" s="10" t="s">
        <v>76</v>
      </c>
      <c r="D25" s="12">
        <v>0</v>
      </c>
      <c r="E25" s="12">
        <v>0</v>
      </c>
      <c r="F25" s="10" t="s">
        <v>131</v>
      </c>
    </row>
    <row r="26" spans="1:6">
      <c r="B26" s="10" t="s">
        <v>77</v>
      </c>
      <c r="C26" s="10" t="s">
        <v>78</v>
      </c>
      <c r="D26" s="12">
        <v>0</v>
      </c>
      <c r="E26" s="12">
        <v>0</v>
      </c>
      <c r="F26" s="10" t="s">
        <v>131</v>
      </c>
    </row>
    <row r="27" spans="1:6">
      <c r="B27" s="10" t="s">
        <v>79</v>
      </c>
      <c r="C27" s="10" t="s">
        <v>80</v>
      </c>
      <c r="D27" s="12">
        <v>0</v>
      </c>
      <c r="E27" s="12">
        <v>0</v>
      </c>
      <c r="F27" s="10" t="s">
        <v>131</v>
      </c>
    </row>
    <row r="28" spans="1:6">
      <c r="B28" s="10" t="s">
        <v>81</v>
      </c>
      <c r="C28" s="10" t="s">
        <v>82</v>
      </c>
      <c r="D28" s="12">
        <v>0</v>
      </c>
      <c r="E28" s="12">
        <v>0</v>
      </c>
      <c r="F28" s="10" t="s">
        <v>131</v>
      </c>
    </row>
    <row r="29" spans="1:6">
      <c r="B29" s="10" t="s">
        <v>83</v>
      </c>
      <c r="C29" s="10" t="s">
        <v>84</v>
      </c>
      <c r="D29" s="12">
        <v>0</v>
      </c>
      <c r="E29" s="12">
        <v>0</v>
      </c>
      <c r="F29" s="10" t="s">
        <v>131</v>
      </c>
    </row>
    <row r="30" spans="1:6">
      <c r="B30" s="10" t="s">
        <v>85</v>
      </c>
      <c r="C30" s="10" t="s">
        <v>86</v>
      </c>
      <c r="D30" s="12">
        <v>1</v>
      </c>
      <c r="E30" s="12">
        <v>1</v>
      </c>
      <c r="F30" s="10" t="s">
        <v>131</v>
      </c>
    </row>
    <row r="31" spans="1:6">
      <c r="B31" s="10" t="s">
        <v>87</v>
      </c>
      <c r="C31" s="10" t="s">
        <v>68</v>
      </c>
      <c r="D31" s="12">
        <v>1</v>
      </c>
      <c r="E31" s="12">
        <v>1</v>
      </c>
      <c r="F31" s="10" t="s">
        <v>131</v>
      </c>
    </row>
    <row r="32" spans="1:6">
      <c r="B32" s="10" t="s">
        <v>88</v>
      </c>
      <c r="C32" s="10" t="s">
        <v>70</v>
      </c>
      <c r="D32" s="12">
        <v>0</v>
      </c>
      <c r="E32" s="12">
        <v>0</v>
      </c>
      <c r="F32" s="10" t="s">
        <v>131</v>
      </c>
    </row>
    <row r="33" spans="1:7">
      <c r="B33" s="10" t="s">
        <v>89</v>
      </c>
      <c r="C33" s="10" t="s">
        <v>72</v>
      </c>
      <c r="D33" s="12">
        <v>2</v>
      </c>
      <c r="E33" s="12">
        <v>2</v>
      </c>
      <c r="F33" s="10" t="s">
        <v>131</v>
      </c>
    </row>
    <row r="34" spans="1:7">
      <c r="B34" s="10" t="s">
        <v>90</v>
      </c>
      <c r="C34" s="10" t="s">
        <v>74</v>
      </c>
      <c r="D34" s="12">
        <v>0</v>
      </c>
      <c r="E34" s="12">
        <v>0</v>
      </c>
      <c r="F34" s="10" t="s">
        <v>131</v>
      </c>
    </row>
    <row r="35" spans="1:7">
      <c r="B35" s="10" t="s">
        <v>91</v>
      </c>
      <c r="C35" s="10" t="s">
        <v>76</v>
      </c>
      <c r="D35" s="12">
        <v>0</v>
      </c>
      <c r="E35" s="12">
        <v>0</v>
      </c>
      <c r="F35" s="10" t="s">
        <v>131</v>
      </c>
    </row>
    <row r="36" spans="1:7">
      <c r="B36" s="10" t="s">
        <v>92</v>
      </c>
      <c r="C36" s="10" t="s">
        <v>78</v>
      </c>
      <c r="D36" s="12">
        <v>0</v>
      </c>
      <c r="E36" s="12">
        <v>0</v>
      </c>
      <c r="F36" s="10" t="s">
        <v>131</v>
      </c>
    </row>
    <row r="37" spans="1:7">
      <c r="B37" s="10" t="s">
        <v>93</v>
      </c>
      <c r="C37" s="10" t="s">
        <v>80</v>
      </c>
      <c r="D37" s="12">
        <v>0</v>
      </c>
      <c r="E37" s="12">
        <v>0</v>
      </c>
      <c r="F37" s="10" t="s">
        <v>131</v>
      </c>
    </row>
    <row r="38" spans="1:7">
      <c r="B38" s="10" t="s">
        <v>94</v>
      </c>
      <c r="C38" s="10" t="s">
        <v>82</v>
      </c>
      <c r="D38" s="12">
        <v>0</v>
      </c>
      <c r="E38" s="12">
        <v>0</v>
      </c>
      <c r="F38" s="10" t="s">
        <v>131</v>
      </c>
    </row>
    <row r="39" spans="1:7">
      <c r="B39" s="10" t="s">
        <v>95</v>
      </c>
      <c r="C39" s="10" t="s">
        <v>84</v>
      </c>
      <c r="D39" s="12">
        <v>0</v>
      </c>
      <c r="E39" s="12">
        <v>0</v>
      </c>
      <c r="F39" s="10" t="s">
        <v>131</v>
      </c>
    </row>
    <row r="40" spans="1:7" ht="15" thickBot="1">
      <c r="B40" s="8" t="s">
        <v>96</v>
      </c>
      <c r="C40" s="8" t="s">
        <v>86</v>
      </c>
      <c r="D40" s="11">
        <v>3</v>
      </c>
      <c r="E40" s="11">
        <v>3</v>
      </c>
      <c r="F40" s="8" t="s">
        <v>131</v>
      </c>
    </row>
    <row r="43" spans="1:7" ht="15" thickBot="1">
      <c r="A43" t="s">
        <v>60</v>
      </c>
    </row>
    <row r="44" spans="1:7" ht="15" thickBot="1">
      <c r="B44" s="9" t="s">
        <v>54</v>
      </c>
      <c r="C44" s="9" t="s">
        <v>55</v>
      </c>
      <c r="D44" s="9" t="s">
        <v>61</v>
      </c>
      <c r="E44" s="9" t="s">
        <v>62</v>
      </c>
      <c r="F44" s="9" t="s">
        <v>63</v>
      </c>
      <c r="G44" s="9" t="s">
        <v>64</v>
      </c>
    </row>
    <row r="45" spans="1:7">
      <c r="B45" s="10" t="s">
        <v>97</v>
      </c>
      <c r="C45" s="10" t="s">
        <v>98</v>
      </c>
      <c r="D45" s="12">
        <v>3</v>
      </c>
      <c r="E45" s="10" t="s">
        <v>99</v>
      </c>
      <c r="F45" s="10" t="s">
        <v>100</v>
      </c>
      <c r="G45" s="10">
        <v>0</v>
      </c>
    </row>
    <row r="46" spans="1:7">
      <c r="B46" s="10" t="s">
        <v>101</v>
      </c>
      <c r="C46" s="10" t="s">
        <v>102</v>
      </c>
      <c r="D46" s="12">
        <v>2</v>
      </c>
      <c r="E46" s="10" t="s">
        <v>103</v>
      </c>
      <c r="F46" s="10" t="s">
        <v>100</v>
      </c>
      <c r="G46" s="10">
        <v>0</v>
      </c>
    </row>
    <row r="47" spans="1:7">
      <c r="B47" s="10" t="s">
        <v>104</v>
      </c>
      <c r="C47" s="10" t="s">
        <v>105</v>
      </c>
      <c r="D47" s="12">
        <v>25</v>
      </c>
      <c r="E47" s="10" t="s">
        <v>106</v>
      </c>
      <c r="F47" s="10" t="s">
        <v>107</v>
      </c>
      <c r="G47" s="12">
        <v>25</v>
      </c>
    </row>
    <row r="48" spans="1:7">
      <c r="B48" s="10" t="s">
        <v>108</v>
      </c>
      <c r="C48" s="10" t="s">
        <v>109</v>
      </c>
      <c r="D48" s="12">
        <v>0</v>
      </c>
      <c r="E48" s="10" t="s">
        <v>110</v>
      </c>
      <c r="F48" s="10" t="s">
        <v>100</v>
      </c>
      <c r="G48" s="12">
        <v>0</v>
      </c>
    </row>
    <row r="49" spans="2:7">
      <c r="B49" s="10" t="s">
        <v>111</v>
      </c>
      <c r="C49" s="10" t="s">
        <v>112</v>
      </c>
      <c r="D49" s="12">
        <v>0</v>
      </c>
      <c r="E49" s="10" t="s">
        <v>113</v>
      </c>
      <c r="F49" s="10" t="s">
        <v>100</v>
      </c>
      <c r="G49" s="12">
        <v>0</v>
      </c>
    </row>
    <row r="50" spans="2:7">
      <c r="B50" s="10" t="s">
        <v>114</v>
      </c>
      <c r="C50" s="10" t="s">
        <v>115</v>
      </c>
      <c r="D50" s="12">
        <v>45</v>
      </c>
      <c r="E50" s="10" t="s">
        <v>116</v>
      </c>
      <c r="F50" s="10" t="s">
        <v>107</v>
      </c>
      <c r="G50" s="12">
        <v>45</v>
      </c>
    </row>
    <row r="51" spans="2:7">
      <c r="B51" s="10" t="s">
        <v>117</v>
      </c>
      <c r="C51" s="10" t="s">
        <v>118</v>
      </c>
      <c r="D51" s="12">
        <v>5</v>
      </c>
      <c r="E51" s="10" t="s">
        <v>119</v>
      </c>
      <c r="F51" s="10" t="s">
        <v>107</v>
      </c>
      <c r="G51" s="12">
        <v>5</v>
      </c>
    </row>
    <row r="52" spans="2:7">
      <c r="B52" s="10" t="s">
        <v>120</v>
      </c>
      <c r="C52" s="10" t="s">
        <v>121</v>
      </c>
      <c r="D52" s="12">
        <v>60</v>
      </c>
      <c r="E52" s="10" t="s">
        <v>122</v>
      </c>
      <c r="F52" s="10" t="s">
        <v>107</v>
      </c>
      <c r="G52" s="10">
        <v>40</v>
      </c>
    </row>
    <row r="53" spans="2:7">
      <c r="B53" s="10" t="s">
        <v>123</v>
      </c>
      <c r="C53" s="10" t="s">
        <v>124</v>
      </c>
      <c r="D53" s="12">
        <v>3</v>
      </c>
      <c r="E53" s="10" t="s">
        <v>125</v>
      </c>
      <c r="F53" s="10" t="s">
        <v>100</v>
      </c>
      <c r="G53" s="10">
        <v>0</v>
      </c>
    </row>
    <row r="54" spans="2:7">
      <c r="B54" s="10" t="s">
        <v>126</v>
      </c>
      <c r="C54" s="10" t="s">
        <v>124</v>
      </c>
      <c r="D54" s="12">
        <v>1</v>
      </c>
      <c r="E54" s="10" t="s">
        <v>127</v>
      </c>
      <c r="F54" s="10" t="s">
        <v>100</v>
      </c>
      <c r="G54" s="10">
        <v>0</v>
      </c>
    </row>
    <row r="55" spans="2:7">
      <c r="B55" s="10" t="s">
        <v>128</v>
      </c>
      <c r="C55" s="10" t="s">
        <v>124</v>
      </c>
      <c r="D55" s="12">
        <v>75</v>
      </c>
      <c r="E55" s="10" t="s">
        <v>129</v>
      </c>
      <c r="F55" s="10" t="s">
        <v>107</v>
      </c>
      <c r="G55" s="10">
        <v>25</v>
      </c>
    </row>
    <row r="56" spans="2:7">
      <c r="B56" s="10" t="s">
        <v>130</v>
      </c>
      <c r="C56" s="10"/>
      <c r="D56" s="10"/>
      <c r="E56" s="10"/>
      <c r="F56" s="10"/>
      <c r="G56" s="10"/>
    </row>
    <row r="57" spans="2:7" ht="15" thickBot="1">
      <c r="B57" s="8" t="s">
        <v>132</v>
      </c>
      <c r="C57" s="8"/>
      <c r="D57" s="8"/>
      <c r="E57" s="8"/>
      <c r="F57" s="8"/>
      <c r="G57" s="8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8"/>
  <sheetViews>
    <sheetView tabSelected="1" topLeftCell="A13" zoomScale="83" zoomScaleNormal="83" workbookViewId="0">
      <selection activeCell="B41" sqref="B41"/>
    </sheetView>
  </sheetViews>
  <sheetFormatPr defaultRowHeight="14.4"/>
  <cols>
    <col min="1" max="1" width="31.88671875" bestFit="1" customWidth="1"/>
    <col min="2" max="2" width="12.44140625" bestFit="1" customWidth="1"/>
    <col min="3" max="3" width="35.88671875" customWidth="1"/>
    <col min="4" max="4" width="24.33203125" bestFit="1" customWidth="1"/>
    <col min="5" max="5" width="25.5546875" bestFit="1" customWidth="1"/>
    <col min="6" max="6" width="16.88671875" customWidth="1"/>
    <col min="7" max="7" width="29.44140625" customWidth="1"/>
    <col min="8" max="8" width="32.6640625" customWidth="1"/>
    <col min="9" max="9" width="9.77734375" customWidth="1"/>
    <col min="10" max="10" width="12.88671875" customWidth="1"/>
    <col min="11" max="11" width="23.6640625" bestFit="1" customWidth="1"/>
    <col min="12" max="12" width="20.33203125" customWidth="1"/>
    <col min="13" max="13" width="4.77734375" customWidth="1"/>
    <col min="14" max="14" width="24.77734375" customWidth="1"/>
    <col min="15" max="15" width="30" customWidth="1"/>
  </cols>
  <sheetData>
    <row r="1" spans="1:15" ht="13.95">
      <c r="A1" t="s">
        <v>17</v>
      </c>
      <c r="B1" s="4">
        <v>0.2</v>
      </c>
      <c r="C1" s="2" t="s">
        <v>22</v>
      </c>
      <c r="D1" s="3">
        <v>100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3.95">
      <c r="A2" t="s">
        <v>20</v>
      </c>
      <c r="B2">
        <v>100</v>
      </c>
      <c r="C2" t="s">
        <v>23</v>
      </c>
      <c r="D2">
        <v>100</v>
      </c>
    </row>
    <row r="5" spans="1:15" ht="13.95">
      <c r="A5" t="s">
        <v>10</v>
      </c>
      <c r="C5" t="s">
        <v>13</v>
      </c>
      <c r="D5" t="s">
        <v>14</v>
      </c>
      <c r="E5" t="s">
        <v>15</v>
      </c>
      <c r="F5" t="s">
        <v>16</v>
      </c>
      <c r="G5" t="s">
        <v>18</v>
      </c>
      <c r="H5" t="s">
        <v>19</v>
      </c>
    </row>
    <row r="6" spans="1:15" ht="13.95">
      <c r="B6" t="s">
        <v>11</v>
      </c>
      <c r="C6">
        <v>10</v>
      </c>
      <c r="D6">
        <v>3</v>
      </c>
      <c r="E6">
        <f>D6*$B$1</f>
        <v>0.60000000000000009</v>
      </c>
      <c r="F6">
        <v>5</v>
      </c>
      <c r="G6">
        <v>3</v>
      </c>
      <c r="H6">
        <v>3</v>
      </c>
    </row>
    <row r="7" spans="1:15" ht="13.95">
      <c r="B7" t="s">
        <v>12</v>
      </c>
      <c r="C7">
        <v>20</v>
      </c>
      <c r="D7">
        <v>6</v>
      </c>
      <c r="E7">
        <f>D7*$B$1</f>
        <v>1.2000000000000002</v>
      </c>
      <c r="F7">
        <v>10</v>
      </c>
      <c r="G7">
        <v>2</v>
      </c>
      <c r="H7">
        <v>1</v>
      </c>
    </row>
    <row r="11" spans="1:15" ht="13.95">
      <c r="A11" t="s">
        <v>9</v>
      </c>
    </row>
    <row r="13" spans="1:15" ht="13.95">
      <c r="B13" t="s">
        <v>1</v>
      </c>
      <c r="C13" t="s">
        <v>4</v>
      </c>
      <c r="D13" t="s">
        <v>5</v>
      </c>
      <c r="E13" t="s">
        <v>6</v>
      </c>
      <c r="F13" t="s">
        <v>7</v>
      </c>
      <c r="G13" t="s">
        <v>8</v>
      </c>
    </row>
    <row r="14" spans="1:15" ht="13.95">
      <c r="A14" t="s">
        <v>0</v>
      </c>
      <c r="B14" t="s">
        <v>2</v>
      </c>
      <c r="C14">
        <v>240</v>
      </c>
      <c r="D14">
        <v>334</v>
      </c>
      <c r="E14">
        <v>277</v>
      </c>
      <c r="F14">
        <v>0</v>
      </c>
      <c r="G14">
        <v>0</v>
      </c>
    </row>
    <row r="15" spans="1:15" ht="13.95">
      <c r="B15" t="s">
        <v>149</v>
      </c>
      <c r="C15">
        <v>0</v>
      </c>
      <c r="D15">
        <v>0</v>
      </c>
      <c r="E15">
        <v>0</v>
      </c>
      <c r="F15">
        <v>526</v>
      </c>
      <c r="G15">
        <v>663</v>
      </c>
    </row>
    <row r="18" spans="1:7" ht="13.95">
      <c r="A18" t="s">
        <v>21</v>
      </c>
    </row>
    <row r="20" spans="1:7" ht="13.95">
      <c r="B20" t="s">
        <v>1</v>
      </c>
      <c r="C20" t="s">
        <v>4</v>
      </c>
      <c r="D20" t="s">
        <v>5</v>
      </c>
      <c r="E20" t="s">
        <v>6</v>
      </c>
      <c r="F20" t="s">
        <v>7</v>
      </c>
      <c r="G20" t="s">
        <v>8</v>
      </c>
    </row>
    <row r="21" spans="1:7" ht="13.95">
      <c r="A21" t="s">
        <v>0</v>
      </c>
      <c r="B21" t="s">
        <v>2</v>
      </c>
      <c r="C21">
        <v>30</v>
      </c>
      <c r="D21">
        <v>20</v>
      </c>
      <c r="E21">
        <v>10</v>
      </c>
      <c r="F21">
        <v>0</v>
      </c>
      <c r="G21">
        <v>0</v>
      </c>
    </row>
    <row r="22" spans="1:7" ht="13.95">
      <c r="B22" t="s">
        <v>3</v>
      </c>
      <c r="C22">
        <v>0</v>
      </c>
      <c r="D22">
        <v>0</v>
      </c>
      <c r="E22">
        <v>0</v>
      </c>
      <c r="F22">
        <v>45</v>
      </c>
      <c r="G22">
        <v>30</v>
      </c>
    </row>
    <row r="26" spans="1:7" ht="13.95">
      <c r="A26" t="s">
        <v>24</v>
      </c>
      <c r="B26" t="s">
        <v>1</v>
      </c>
      <c r="C26" t="s">
        <v>4</v>
      </c>
      <c r="D26" t="s">
        <v>5</v>
      </c>
      <c r="E26" t="s">
        <v>6</v>
      </c>
      <c r="F26" t="s">
        <v>7</v>
      </c>
      <c r="G26" t="s">
        <v>8</v>
      </c>
    </row>
    <row r="27" spans="1:7" ht="13.95">
      <c r="B27" t="s">
        <v>2</v>
      </c>
      <c r="C27" s="6">
        <v>1</v>
      </c>
      <c r="D27" s="6">
        <v>0</v>
      </c>
      <c r="E27" s="6">
        <v>2</v>
      </c>
      <c r="F27" s="6">
        <v>0</v>
      </c>
      <c r="G27" s="6">
        <v>0</v>
      </c>
    </row>
    <row r="28" spans="1:7" ht="13.95">
      <c r="B28" t="s">
        <v>3</v>
      </c>
      <c r="C28" s="6">
        <v>0</v>
      </c>
      <c r="D28" s="6">
        <v>0</v>
      </c>
      <c r="E28" s="6">
        <v>0</v>
      </c>
      <c r="F28" s="6">
        <v>0</v>
      </c>
      <c r="G28" s="6">
        <v>3</v>
      </c>
    </row>
    <row r="30" spans="1:7" ht="13.95">
      <c r="A30" t="s">
        <v>25</v>
      </c>
      <c r="B30" t="s">
        <v>1</v>
      </c>
      <c r="C30" t="s">
        <v>4</v>
      </c>
      <c r="D30" t="s">
        <v>5</v>
      </c>
      <c r="E30" t="s">
        <v>6</v>
      </c>
      <c r="F30" t="s">
        <v>7</v>
      </c>
      <c r="G30" t="s">
        <v>8</v>
      </c>
    </row>
    <row r="31" spans="1:7" ht="13.95">
      <c r="B31" t="s">
        <v>2</v>
      </c>
      <c r="C31" s="6">
        <v>0</v>
      </c>
      <c r="D31" s="6">
        <v>2</v>
      </c>
      <c r="E31" s="6">
        <v>0</v>
      </c>
      <c r="F31" s="6">
        <v>0</v>
      </c>
      <c r="G31" s="6">
        <v>0</v>
      </c>
    </row>
    <row r="32" spans="1:7" ht="13.95">
      <c r="B32" t="s">
        <v>3</v>
      </c>
      <c r="C32" s="6">
        <v>0</v>
      </c>
      <c r="D32" s="6">
        <v>0</v>
      </c>
      <c r="E32" s="6">
        <v>0</v>
      </c>
      <c r="F32" s="6">
        <v>0</v>
      </c>
      <c r="G32" s="6">
        <v>1</v>
      </c>
    </row>
    <row r="34" spans="1:10" ht="13.95">
      <c r="E34" t="s">
        <v>34</v>
      </c>
      <c r="H34" t="s">
        <v>35</v>
      </c>
    </row>
    <row r="35" spans="1:10" ht="13.95">
      <c r="A35" t="s">
        <v>26</v>
      </c>
      <c r="B35">
        <f>SUMPRODUCT(C14:G15,C27:G28)*C6</f>
        <v>27830</v>
      </c>
      <c r="D35" t="s">
        <v>29</v>
      </c>
      <c r="E35">
        <f>SUM(C27:E27)</f>
        <v>3</v>
      </c>
      <c r="F35" s="5" t="s">
        <v>33</v>
      </c>
      <c r="G35">
        <f>G6</f>
        <v>3</v>
      </c>
      <c r="H35">
        <f>SUM(F28:G28)</f>
        <v>3</v>
      </c>
      <c r="I35" s="5" t="s">
        <v>33</v>
      </c>
      <c r="J35">
        <f>H6</f>
        <v>3</v>
      </c>
    </row>
    <row r="36" spans="1:10" ht="13.95">
      <c r="A36" t="s">
        <v>27</v>
      </c>
      <c r="B36">
        <f>SUMPRODUCT(C14:G15,C31:G32)*C7</f>
        <v>26620</v>
      </c>
      <c r="D36" t="s">
        <v>30</v>
      </c>
      <c r="E36">
        <f>SUM(C31:E31)</f>
        <v>2</v>
      </c>
      <c r="F36" s="5" t="s">
        <v>33</v>
      </c>
      <c r="G36">
        <f>G7</f>
        <v>2</v>
      </c>
      <c r="H36">
        <f>SUM(F32:G32)</f>
        <v>1</v>
      </c>
      <c r="I36" s="5" t="s">
        <v>33</v>
      </c>
      <c r="J36">
        <f>H7</f>
        <v>1</v>
      </c>
    </row>
    <row r="37" spans="1:10" ht="13.95">
      <c r="A37" t="s">
        <v>28</v>
      </c>
      <c r="B37">
        <f>SUMPRODUCT(C14:G15,C27:G28)*F6*D6</f>
        <v>41745</v>
      </c>
      <c r="F37" s="5"/>
    </row>
    <row r="38" spans="1:10" ht="13.95">
      <c r="A38" t="s">
        <v>39</v>
      </c>
      <c r="B38">
        <f>SUMPRODUCT(C14:G15,C31:G32)*F7*D7</f>
        <v>79860</v>
      </c>
      <c r="F38" s="5"/>
    </row>
    <row r="39" spans="1:10" ht="13.95">
      <c r="A39" t="s">
        <v>38</v>
      </c>
      <c r="B39">
        <f>E44*B2</f>
        <v>7500</v>
      </c>
      <c r="E39" t="s">
        <v>36</v>
      </c>
      <c r="F39" t="s">
        <v>5</v>
      </c>
      <c r="G39" t="s">
        <v>6</v>
      </c>
      <c r="H39" t="s">
        <v>7</v>
      </c>
      <c r="I39" t="s">
        <v>8</v>
      </c>
    </row>
    <row r="40" spans="1:10" ht="13.95">
      <c r="A40" t="s">
        <v>40</v>
      </c>
      <c r="B40">
        <f>$B$1*(B37+B38)</f>
        <v>24321</v>
      </c>
      <c r="D40" t="s">
        <v>31</v>
      </c>
      <c r="E40">
        <f>C$21-C$27*$F6-C$31*$F7</f>
        <v>25</v>
      </c>
      <c r="F40">
        <f t="shared" ref="F40:G40" si="0">D$21-D$27*$F6-D$31*$F7</f>
        <v>0</v>
      </c>
      <c r="G40">
        <f t="shared" si="0"/>
        <v>0</v>
      </c>
      <c r="H40">
        <f>F$22-F$28*$F6-F$32*$F7</f>
        <v>45</v>
      </c>
      <c r="I40">
        <f>G$22-G$28*$F6-G$32*$F7</f>
        <v>5</v>
      </c>
    </row>
    <row r="41" spans="1:10" ht="13.95">
      <c r="A41" t="s">
        <v>32</v>
      </c>
      <c r="B41" s="30">
        <f>B37+B38+B40-B35-B36-B39</f>
        <v>83976</v>
      </c>
      <c r="E41" t="s">
        <v>34</v>
      </c>
      <c r="H41" t="s">
        <v>35</v>
      </c>
    </row>
    <row r="42" spans="1:10" ht="13.95">
      <c r="D42" t="s">
        <v>41</v>
      </c>
      <c r="E42">
        <f>SUM(C21:G21)</f>
        <v>60</v>
      </c>
      <c r="F42" s="5" t="s">
        <v>33</v>
      </c>
      <c r="G42">
        <f>D1</f>
        <v>100</v>
      </c>
      <c r="H42">
        <f>SUM(C22:G22)</f>
        <v>75</v>
      </c>
      <c r="I42" s="5" t="s">
        <v>33</v>
      </c>
      <c r="J42">
        <f>D2</f>
        <v>100</v>
      </c>
    </row>
    <row r="43" spans="1:10" ht="13.95">
      <c r="F43" s="5"/>
      <c r="I43" s="5"/>
    </row>
    <row r="44" spans="1:10" ht="13.95">
      <c r="D44" t="s">
        <v>37</v>
      </c>
      <c r="E44">
        <f>SUM(E40:I40)</f>
        <v>75</v>
      </c>
    </row>
    <row r="48" spans="1:10">
      <c r="C48" s="13"/>
      <c r="D48" s="13" t="s">
        <v>133</v>
      </c>
      <c r="E48" s="13"/>
      <c r="F48" s="13"/>
      <c r="G48" s="13"/>
    </row>
    <row r="49" spans="3:7">
      <c r="C49" s="13" t="s">
        <v>134</v>
      </c>
      <c r="D49" s="13">
        <f>B41</f>
        <v>83976</v>
      </c>
      <c r="E49" s="13">
        <v>240</v>
      </c>
      <c r="F49" s="13">
        <v>180</v>
      </c>
      <c r="G49" s="13">
        <v>120</v>
      </c>
    </row>
    <row r="50" spans="3:7">
      <c r="C50" s="13"/>
      <c r="D50" s="13">
        <v>30</v>
      </c>
      <c r="E50" s="13">
        <f t="dataTable" ref="E50:G52" dt2D="1" dtr="1" r1="C14" r2="C21" ca="1"/>
        <v>83976</v>
      </c>
      <c r="F50" s="13">
        <v>83496</v>
      </c>
      <c r="G50" s="13">
        <v>83016</v>
      </c>
    </row>
    <row r="51" spans="3:7">
      <c r="C51" s="13"/>
      <c r="D51" s="13">
        <v>20</v>
      </c>
      <c r="E51" s="13">
        <v>84976</v>
      </c>
      <c r="F51" s="13">
        <v>84496</v>
      </c>
      <c r="G51" s="13">
        <v>84016</v>
      </c>
    </row>
    <row r="52" spans="3:7">
      <c r="C52" s="13"/>
      <c r="D52" s="13">
        <v>10</v>
      </c>
      <c r="E52" s="13">
        <v>85976</v>
      </c>
      <c r="F52" s="13">
        <v>85496</v>
      </c>
      <c r="G52" s="13">
        <v>85016</v>
      </c>
    </row>
    <row r="54" spans="3:7">
      <c r="C54" s="13"/>
      <c r="D54" s="13" t="s">
        <v>135</v>
      </c>
      <c r="E54" s="13"/>
      <c r="F54" s="13"/>
      <c r="G54" s="13"/>
    </row>
    <row r="55" spans="3:7">
      <c r="C55" s="13" t="s">
        <v>136</v>
      </c>
      <c r="D55" s="13">
        <f>B41</f>
        <v>83976</v>
      </c>
      <c r="E55" s="13">
        <v>0</v>
      </c>
      <c r="F55" s="13">
        <v>1</v>
      </c>
      <c r="G55" s="13">
        <v>2</v>
      </c>
    </row>
    <row r="56" spans="3:7">
      <c r="C56" s="13"/>
      <c r="D56" s="13">
        <v>1</v>
      </c>
      <c r="E56" s="13">
        <f t="dataTable" ref="E56:G58" dt2D="1" dtr="1" r1="C31" r2="C27" ca="1"/>
        <v>83976</v>
      </c>
      <c r="F56" s="13">
        <v>97456</v>
      </c>
      <c r="G56" s="13">
        <v>110936</v>
      </c>
    </row>
    <row r="57" spans="3:7">
      <c r="C57" s="13"/>
      <c r="D57" s="13">
        <v>2</v>
      </c>
      <c r="E57" s="13">
        <v>86396</v>
      </c>
      <c r="F57" s="13">
        <v>99876</v>
      </c>
      <c r="G57" s="13">
        <v>113356</v>
      </c>
    </row>
    <row r="58" spans="3:7">
      <c r="C58" s="13"/>
      <c r="D58" s="13">
        <v>3</v>
      </c>
      <c r="E58" s="13">
        <v>88816</v>
      </c>
      <c r="F58" s="13">
        <v>102296</v>
      </c>
      <c r="G58" s="13">
        <v>115776</v>
      </c>
    </row>
    <row r="60" spans="3:7">
      <c r="C60" s="13"/>
      <c r="D60" s="13" t="s">
        <v>137</v>
      </c>
      <c r="E60" s="13"/>
      <c r="F60" s="13"/>
      <c r="G60" s="13"/>
    </row>
    <row r="61" spans="3:7">
      <c r="C61" s="13" t="s">
        <v>138</v>
      </c>
      <c r="D61" s="13">
        <f>B41</f>
        <v>83976</v>
      </c>
      <c r="E61" s="13">
        <v>26620</v>
      </c>
      <c r="F61" s="13">
        <v>27620</v>
      </c>
      <c r="G61" s="13">
        <v>28620</v>
      </c>
    </row>
    <row r="62" spans="3:7">
      <c r="C62" s="13"/>
      <c r="D62" s="13">
        <v>27830</v>
      </c>
      <c r="E62" s="13">
        <f t="dataTable" ref="E62:G64" dt2D="1" dtr="1" r1="B36" r2="B35" ca="1"/>
        <v>83976</v>
      </c>
      <c r="F62" s="13">
        <v>82976</v>
      </c>
      <c r="G62" s="13">
        <v>81976</v>
      </c>
    </row>
    <row r="63" spans="3:7">
      <c r="C63" s="13"/>
      <c r="D63" s="13">
        <v>28830</v>
      </c>
      <c r="E63" s="13">
        <v>82976</v>
      </c>
      <c r="F63" s="13">
        <v>81976</v>
      </c>
      <c r="G63" s="13">
        <v>80976</v>
      </c>
    </row>
    <row r="64" spans="3:7">
      <c r="C64" s="13"/>
      <c r="D64" s="13">
        <v>29830</v>
      </c>
      <c r="E64" s="13">
        <v>81976</v>
      </c>
      <c r="F64" s="13">
        <v>80976</v>
      </c>
      <c r="G64" s="13">
        <v>79976</v>
      </c>
    </row>
    <row r="66" spans="3:7">
      <c r="C66" s="13"/>
      <c r="D66" s="13" t="s">
        <v>137</v>
      </c>
      <c r="E66" s="13"/>
      <c r="F66" s="13"/>
      <c r="G66" s="13"/>
    </row>
    <row r="67" spans="3:7">
      <c r="C67" s="13" t="s">
        <v>28</v>
      </c>
      <c r="D67" s="13">
        <f>B41</f>
        <v>83976</v>
      </c>
      <c r="E67" s="13">
        <v>79860</v>
      </c>
      <c r="F67" s="13">
        <v>77860</v>
      </c>
      <c r="G67" s="13">
        <v>75860</v>
      </c>
    </row>
    <row r="68" spans="3:7">
      <c r="C68" s="13"/>
      <c r="D68" s="13">
        <v>27830</v>
      </c>
      <c r="E68" s="13">
        <f t="dataTable" ref="E68:G70" dt2D="1" dtr="1" r1="B37" r2="B35" ca="1"/>
        <v>129714</v>
      </c>
      <c r="F68" s="13">
        <v>127314</v>
      </c>
      <c r="G68" s="13">
        <v>124914</v>
      </c>
    </row>
    <row r="69" spans="3:7">
      <c r="C69" s="13"/>
      <c r="D69" s="13">
        <v>28830</v>
      </c>
      <c r="E69" s="13">
        <v>128714</v>
      </c>
      <c r="F69" s="13">
        <v>126314</v>
      </c>
      <c r="G69" s="13">
        <v>123914</v>
      </c>
    </row>
    <row r="70" spans="3:7">
      <c r="C70" s="13"/>
      <c r="D70" s="13">
        <v>29830</v>
      </c>
      <c r="E70" s="13">
        <v>127714</v>
      </c>
      <c r="F70" s="13">
        <v>125314</v>
      </c>
      <c r="G70" s="13">
        <v>122914</v>
      </c>
    </row>
    <row r="72" spans="3:7">
      <c r="C72" s="13"/>
      <c r="D72" s="13" t="s">
        <v>137</v>
      </c>
      <c r="E72" s="13"/>
      <c r="F72" s="13"/>
      <c r="G72" s="13"/>
    </row>
    <row r="73" spans="3:7">
      <c r="C73" s="13" t="s">
        <v>139</v>
      </c>
      <c r="D73" s="13">
        <f>B41</f>
        <v>83976</v>
      </c>
      <c r="E73" s="13">
        <v>7500</v>
      </c>
      <c r="F73" s="13">
        <v>6500</v>
      </c>
      <c r="G73" s="13">
        <v>5500</v>
      </c>
    </row>
    <row r="74" spans="3:7">
      <c r="C74" s="13"/>
      <c r="D74" s="13">
        <v>27830</v>
      </c>
      <c r="E74" s="13">
        <f t="dataTable" ref="E74:G76" dt2D="1" dtr="1" r1="B39" r2="B35" ca="1"/>
        <v>83976</v>
      </c>
      <c r="F74" s="13">
        <v>84976</v>
      </c>
      <c r="G74" s="13">
        <v>85976</v>
      </c>
    </row>
    <row r="75" spans="3:7">
      <c r="C75" s="13"/>
      <c r="D75" s="13">
        <v>28830</v>
      </c>
      <c r="E75" s="13">
        <v>82976</v>
      </c>
      <c r="F75" s="13">
        <v>83976</v>
      </c>
      <c r="G75" s="13">
        <v>84976</v>
      </c>
    </row>
    <row r="76" spans="3:7">
      <c r="C76" s="13"/>
      <c r="D76" s="13">
        <v>29830</v>
      </c>
      <c r="E76" s="13">
        <v>81976</v>
      </c>
      <c r="F76" s="13">
        <v>82976</v>
      </c>
      <c r="G76" s="13">
        <v>83976</v>
      </c>
    </row>
    <row r="78" spans="3:7">
      <c r="C78" s="13"/>
      <c r="D78" s="13" t="s">
        <v>140</v>
      </c>
      <c r="E78" s="13"/>
      <c r="F78" s="13"/>
      <c r="G78" s="13"/>
    </row>
    <row r="79" spans="3:7">
      <c r="C79" s="13" t="s">
        <v>141</v>
      </c>
      <c r="D79" s="13">
        <f>B41</f>
        <v>83976</v>
      </c>
      <c r="E79" s="13">
        <v>0</v>
      </c>
      <c r="F79" s="13">
        <v>1</v>
      </c>
      <c r="G79" s="13">
        <v>2</v>
      </c>
    </row>
    <row r="80" spans="3:7">
      <c r="C80" s="13"/>
      <c r="D80" s="13">
        <v>0</v>
      </c>
      <c r="E80" s="13">
        <f t="dataTable" ref="E80:G82" dt2D="1" dtr="1" r1="D31" r2="C27" ca="1"/>
        <v>44820</v>
      </c>
      <c r="F80" s="13">
        <v>63188</v>
      </c>
      <c r="G80" s="13">
        <v>81556</v>
      </c>
    </row>
    <row r="81" spans="2:8">
      <c r="C81" s="13"/>
      <c r="D81" s="13">
        <v>1</v>
      </c>
      <c r="E81" s="13">
        <v>47240</v>
      </c>
      <c r="F81" s="13">
        <v>65608</v>
      </c>
      <c r="G81" s="13">
        <v>83976</v>
      </c>
    </row>
    <row r="82" spans="2:8">
      <c r="C82" s="13"/>
      <c r="D82" s="13">
        <v>2</v>
      </c>
      <c r="E82" s="13">
        <v>49660</v>
      </c>
      <c r="F82" s="13">
        <v>68028</v>
      </c>
      <c r="G82" s="13">
        <v>86396</v>
      </c>
    </row>
    <row r="84" spans="2:8">
      <c r="B84" s="28" t="s">
        <v>148</v>
      </c>
      <c r="C84" s="28"/>
    </row>
    <row r="85" spans="2:8">
      <c r="C85" s="26"/>
      <c r="D85" s="23" t="s">
        <v>140</v>
      </c>
      <c r="E85" s="15"/>
      <c r="F85" s="16"/>
      <c r="G85" s="17"/>
    </row>
    <row r="86" spans="2:8">
      <c r="C86" s="22" t="s">
        <v>142</v>
      </c>
      <c r="D86" s="21">
        <f>B41</f>
        <v>83976</v>
      </c>
      <c r="E86" s="22">
        <v>0</v>
      </c>
      <c r="F86" s="22">
        <v>1</v>
      </c>
      <c r="G86" s="22">
        <v>2</v>
      </c>
    </row>
    <row r="87" spans="2:8">
      <c r="C87" s="18"/>
      <c r="D87" s="23">
        <v>0</v>
      </c>
      <c r="E87" s="21">
        <f t="dataTable" ref="E87:G89" dt2D="1" dtr="1" r1="E27" r2="C27" ca="1"/>
        <v>76124</v>
      </c>
      <c r="F87" s="21">
        <v>78840</v>
      </c>
      <c r="G87" s="21">
        <v>81556</v>
      </c>
    </row>
    <row r="88" spans="2:8">
      <c r="C88" s="19"/>
      <c r="D88" s="23">
        <v>1</v>
      </c>
      <c r="E88" s="21">
        <v>78544</v>
      </c>
      <c r="F88" s="21">
        <v>81260</v>
      </c>
      <c r="G88" s="25">
        <v>83976</v>
      </c>
    </row>
    <row r="89" spans="2:8">
      <c r="C89" s="19"/>
      <c r="D89" s="23">
        <v>2</v>
      </c>
      <c r="E89" s="21">
        <v>80964</v>
      </c>
      <c r="F89" s="21">
        <v>83680</v>
      </c>
      <c r="G89" s="21">
        <v>86396</v>
      </c>
    </row>
    <row r="90" spans="2:8">
      <c r="B90" s="28" t="s">
        <v>150</v>
      </c>
      <c r="C90" s="28"/>
    </row>
    <row r="91" spans="2:8">
      <c r="C91" s="26"/>
      <c r="D91" s="23" t="s">
        <v>143</v>
      </c>
      <c r="E91" s="14"/>
      <c r="F91" s="14"/>
      <c r="G91" s="14"/>
      <c r="H91" s="14"/>
    </row>
    <row r="92" spans="2:8">
      <c r="C92" s="22" t="s">
        <v>144</v>
      </c>
      <c r="D92" s="21">
        <f>B41</f>
        <v>83976</v>
      </c>
      <c r="E92" s="22">
        <v>0</v>
      </c>
      <c r="F92" s="22">
        <v>1</v>
      </c>
      <c r="G92" s="22">
        <v>2</v>
      </c>
      <c r="H92" s="22">
        <v>3</v>
      </c>
    </row>
    <row r="93" spans="2:8">
      <c r="C93" s="18"/>
      <c r="D93" s="23">
        <v>0</v>
      </c>
      <c r="E93" s="21">
        <f t="dataTable" ref="E93:H96" dt2D="1" dtr="1" r1="G28" r2="C28" ca="1"/>
        <v>66564</v>
      </c>
      <c r="F93" s="21">
        <v>72368</v>
      </c>
      <c r="G93" s="21">
        <v>78172</v>
      </c>
      <c r="H93" s="25">
        <v>83976</v>
      </c>
    </row>
    <row r="94" spans="2:8">
      <c r="C94" s="19"/>
      <c r="D94" s="23">
        <v>1</v>
      </c>
      <c r="E94" s="21">
        <v>66564</v>
      </c>
      <c r="F94" s="21">
        <v>72368</v>
      </c>
      <c r="G94" s="21">
        <v>78172</v>
      </c>
      <c r="H94" s="21">
        <v>83976</v>
      </c>
    </row>
    <row r="95" spans="2:8">
      <c r="C95" s="19"/>
      <c r="D95" s="23">
        <v>2</v>
      </c>
      <c r="E95" s="21">
        <v>66564</v>
      </c>
      <c r="F95" s="21">
        <v>72368</v>
      </c>
      <c r="G95" s="21">
        <v>78172</v>
      </c>
      <c r="H95" s="21">
        <v>83976</v>
      </c>
    </row>
    <row r="96" spans="2:8">
      <c r="C96" s="19"/>
      <c r="D96" s="23">
        <v>3</v>
      </c>
      <c r="E96" s="21">
        <v>66564</v>
      </c>
      <c r="F96" s="21">
        <v>72368</v>
      </c>
      <c r="G96" s="21">
        <v>78172</v>
      </c>
      <c r="H96" s="21">
        <v>83976</v>
      </c>
    </row>
    <row r="97" spans="2:7" ht="13.8" customHeight="1">
      <c r="B97" s="29" t="s">
        <v>151</v>
      </c>
      <c r="C97" s="13"/>
    </row>
    <row r="98" spans="2:7">
      <c r="C98" s="26"/>
      <c r="D98" s="23" t="s">
        <v>145</v>
      </c>
      <c r="E98" s="15"/>
      <c r="F98" s="16"/>
      <c r="G98" s="17"/>
    </row>
    <row r="99" spans="2:7">
      <c r="C99" s="22" t="s">
        <v>141</v>
      </c>
      <c r="D99" s="21">
        <f>B41</f>
        <v>83976</v>
      </c>
      <c r="E99" s="22">
        <v>0</v>
      </c>
      <c r="F99" s="22">
        <v>1</v>
      </c>
      <c r="G99" s="22">
        <v>2</v>
      </c>
    </row>
    <row r="100" spans="2:7">
      <c r="C100" s="18"/>
      <c r="D100" s="23">
        <v>0</v>
      </c>
      <c r="E100" s="21">
        <f t="dataTable" ref="E100:G102" dt2D="1" dtr="1" r1="D31" r2="C31" ca="1"/>
        <v>47240</v>
      </c>
      <c r="F100" s="21">
        <v>65608</v>
      </c>
      <c r="G100" s="24">
        <v>83976</v>
      </c>
    </row>
    <row r="101" spans="2:7">
      <c r="C101" s="19"/>
      <c r="D101" s="23">
        <v>1</v>
      </c>
      <c r="E101" s="21">
        <v>60720</v>
      </c>
      <c r="F101" s="21">
        <v>79088</v>
      </c>
      <c r="G101" s="21">
        <v>97456</v>
      </c>
    </row>
    <row r="102" spans="2:7">
      <c r="C102" s="19"/>
      <c r="D102" s="23">
        <v>2</v>
      </c>
      <c r="E102" s="21">
        <v>74200</v>
      </c>
      <c r="F102" s="21">
        <v>92568</v>
      </c>
      <c r="G102" s="21">
        <v>110936</v>
      </c>
    </row>
    <row r="103" spans="2:7">
      <c r="B103" s="27" t="s">
        <v>152</v>
      </c>
      <c r="C103" s="27"/>
    </row>
    <row r="104" spans="2:7">
      <c r="C104" s="26"/>
      <c r="D104" s="23" t="s">
        <v>146</v>
      </c>
      <c r="E104" s="15"/>
      <c r="F104" s="16"/>
      <c r="G104" s="17"/>
    </row>
    <row r="105" spans="2:7">
      <c r="C105" s="22" t="s">
        <v>147</v>
      </c>
      <c r="D105" s="21">
        <f>B41</f>
        <v>83976</v>
      </c>
      <c r="E105" s="22">
        <v>0</v>
      </c>
      <c r="F105" s="22">
        <v>1</v>
      </c>
      <c r="G105" s="22">
        <v>2</v>
      </c>
    </row>
    <row r="106" spans="2:7">
      <c r="C106" s="18"/>
      <c r="D106" s="23">
        <v>0</v>
      </c>
      <c r="E106" s="21">
        <f t="dataTable" ref="E106:G108" dt2D="1" dtr="1" r1="G32" r2="C32"/>
        <v>48500</v>
      </c>
      <c r="F106" s="25">
        <v>83976</v>
      </c>
      <c r="G106" s="21">
        <v>119452</v>
      </c>
    </row>
    <row r="107" spans="2:7">
      <c r="C107" s="19"/>
      <c r="D107" s="23">
        <v>1</v>
      </c>
      <c r="E107" s="21">
        <v>48500</v>
      </c>
      <c r="F107" s="21">
        <v>83976</v>
      </c>
      <c r="G107" s="21">
        <v>119452</v>
      </c>
    </row>
    <row r="108" spans="2:7">
      <c r="C108" s="20"/>
      <c r="D108" s="23">
        <v>2</v>
      </c>
      <c r="E108" s="21">
        <v>48500</v>
      </c>
      <c r="F108" s="21">
        <v>83976</v>
      </c>
      <c r="G108" s="21">
        <v>119452</v>
      </c>
    </row>
  </sheetData>
  <mergeCells count="11">
    <mergeCell ref="B90:C90"/>
    <mergeCell ref="C93:C96"/>
    <mergeCell ref="B103:C103"/>
    <mergeCell ref="E91:H91"/>
    <mergeCell ref="C100:C102"/>
    <mergeCell ref="E98:G98"/>
    <mergeCell ref="C106:C108"/>
    <mergeCell ref="E104:G104"/>
    <mergeCell ref="C87:C89"/>
    <mergeCell ref="E85:G85"/>
    <mergeCell ref="B84:C8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Answer Report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laptop</dc:creator>
  <cp:lastModifiedBy>栩洲 冯</cp:lastModifiedBy>
  <dcterms:created xsi:type="dcterms:W3CDTF">2024-12-05T20:39:08Z</dcterms:created>
  <dcterms:modified xsi:type="dcterms:W3CDTF">2024-12-13T05:25:19Z</dcterms:modified>
</cp:coreProperties>
</file>